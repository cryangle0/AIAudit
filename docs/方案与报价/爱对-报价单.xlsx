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sz val="11"/>
    </font>
    <font>
      <name val="微软雅黑"/>
      <b val="1"/>
      <color rgb="00333333"/>
      <sz val="11"/>
    </font>
    <font>
      <name val="微软雅黑"/>
      <b val="1"/>
      <color rgb="002C5F9E"/>
      <sz val="12"/>
    </font>
    <font>
      <name val="微软雅黑"/>
      <b val="1"/>
      <color rgb="00333333"/>
    </font>
    <font>
      <name val="微软雅黑"/>
      <b val="1"/>
      <color rgb="00FFFFFF"/>
      <sz val="12"/>
    </font>
    <font>
      <name val="微软雅黑"/>
      <b val="1"/>
      <color rgb="00FFFFFF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2C5F9E"/>
        <bgColor rgb="002C5F9E"/>
      </patternFill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FFF9E6"/>
        <bgColor rgb="00FFF9E6"/>
      </patternFill>
    </fill>
    <fill>
      <patternFill patternType="solid">
        <fgColor rgb="00E8F4FD"/>
        <bgColor rgb="00E8F4FD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  <border>
      <left style="medium">
        <color rgb="002C5F9E"/>
      </left>
      <right style="medium">
        <color rgb="002C5F9E"/>
      </right>
      <top style="medium">
        <color rgb="002C5F9E"/>
      </top>
      <bottom style="medium">
        <color rgb="002C5F9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3" fontId="5" fillId="5" borderId="1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0" fillId="2" borderId="5" pivotButton="0" quotePrefix="0" xfId="0"/>
    <xf numFmtId="0" fontId="7" fillId="2" borderId="5" applyAlignment="1" pivotButton="0" quotePrefix="0" xfId="0">
      <alignment vertical="center" wrapText="1"/>
    </xf>
    <xf numFmtId="3" fontId="6" fillId="2" borderId="5" applyAlignment="1" pivotButton="0" quotePrefix="0" xfId="0">
      <alignment horizontal="center" vertical="center"/>
    </xf>
    <xf numFmtId="0" fontId="4" fillId="6" borderId="0" applyAlignment="1" pivotButton="0" quotePrefix="0" xfId="0">
      <alignment vertical="center" indent="1"/>
    </xf>
    <xf numFmtId="0" fontId="8" fillId="0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50" customWidth="1" min="3" max="3"/>
    <col width="60" customWidth="1" min="4" max="4"/>
    <col width="10" customWidth="1" min="5" max="5"/>
    <col width="12" customWidth="1" min="6" max="6"/>
    <col width="10" customWidth="1" min="7" max="7"/>
  </cols>
  <sheetData>
    <row r="1" ht="38" customHeight="1">
      <c r="A1" s="1" t="inlineStr">
        <is>
          <t>爱对 — 多平台店铺财务自动对账系统  报价单</t>
        </is>
      </c>
    </row>
    <row r="2" ht="26" customHeight="1">
      <c r="A2" s="2" t="inlineStr">
        <is>
          <t>项目预算：5 万元（含税）    |    开发周期：20 个工作日（4 周）    |    交付时间：签约后 28 自然日内</t>
        </is>
      </c>
    </row>
    <row r="3" ht="28" customHeight="1">
      <c r="A3" s="3" t="inlineStr">
        <is>
          <t>功能模块</t>
        </is>
      </c>
      <c r="B3" s="3" t="inlineStr">
        <is>
          <t>功能名称</t>
        </is>
      </c>
      <c r="C3" s="3" t="inlineStr">
        <is>
          <t>功能说明</t>
        </is>
      </c>
      <c r="D3" s="3" t="inlineStr">
        <is>
          <t>功能价值与业务流程</t>
        </is>
      </c>
      <c r="E3" s="3" t="inlineStr">
        <is>
          <t>工期(天)</t>
        </is>
      </c>
      <c r="F3" s="3" t="inlineStr">
        <is>
          <t>费用(元)</t>
        </is>
      </c>
      <c r="G3" s="3" t="inlineStr">
        <is>
          <t>重要度</t>
        </is>
      </c>
    </row>
    <row r="4" ht="60" customHeight="1">
      <c r="A4" s="4" t="inlineStr">
        <is>
          <t>一、商品管理
(需求 #1 #2 #3 #4)</t>
        </is>
      </c>
      <c r="B4" s="5" t="inlineStr">
        <is>
          <t>1.1 商品资料维护</t>
        </is>
      </c>
      <c r="C4" s="5" t="inlineStr">
        <is>
          <t>维护款式编码 / 商品编码 / 商品名称 / 品类等基础字段，支持 Excel 模板下载、批量导入、在线编辑、关键词搜索</t>
        </is>
      </c>
      <c r="D4" s="5" t="inlineStr">
        <is>
          <t>价值：建立商品主数据，与对账/利润分析联动
流程：下载模板 → 填写 → 上传 → 自动去重合并</t>
        </is>
      </c>
      <c r="E4" s="6" t="n">
        <v>0.5</v>
      </c>
      <c r="F4" s="6" t="n">
        <v>1500</v>
      </c>
      <c r="G4" s="6" t="inlineStr">
        <is>
          <t>P0</t>
        </is>
      </c>
    </row>
    <row r="5" ht="60" customHeight="1">
      <c r="A5" s="7" t="n"/>
      <c r="B5" s="5" t="inlineStr">
        <is>
          <t>1.2 商品成本管理</t>
        </is>
      </c>
      <c r="C5" s="5" t="inlineStr">
        <is>
          <t>按期间维护「商品成本 + 标费 + 辅料 = 总成本」，支持批量导入、在线编辑、按 SKU 检索</t>
        </is>
      </c>
      <c r="D5" s="5" t="inlineStr">
        <is>
          <t>价值：成本数据从 Excel 散落集中到系统，与对账自动联动
流程：录入/导入 → 对账时按期间+SKU匹配 → 自动算真实利润</t>
        </is>
      </c>
      <c r="E5" s="6" t="n">
        <v>1</v>
      </c>
      <c r="F5" s="6" t="n">
        <v>2500</v>
      </c>
      <c r="G5" s="6" t="inlineStr">
        <is>
          <t>P0</t>
        </is>
      </c>
    </row>
    <row r="6" ht="60" customHeight="1">
      <c r="A6" s="7" t="n"/>
      <c r="B6" s="5" t="inlineStr">
        <is>
          <t>1.3 成本版本控制</t>
        </is>
      </c>
      <c r="C6" s="5" t="inlineStr">
        <is>
          <t>成本调整后不影响已生成的历史报表，新对账才用新成本（关键需求）</t>
        </is>
      </c>
      <c r="D6" s="5" t="inlineStr">
        <is>
          <t>价值：保障历史数据稳定，避免追溯混乱
流程：变更前的报表生成快照 → 变更只影响后续</t>
        </is>
      </c>
      <c r="E6" s="6" t="n">
        <v>0.5</v>
      </c>
      <c r="F6" s="6" t="n">
        <v>1500</v>
      </c>
      <c r="G6" s="6" t="inlineStr">
        <is>
          <t>P0</t>
        </is>
      </c>
    </row>
    <row r="7" ht="60" customHeight="1">
      <c r="A7" s="8" t="n"/>
      <c r="B7" s="5" t="inlineStr">
        <is>
          <t>1.4 成本修改记录</t>
        </is>
      </c>
      <c r="C7" s="5" t="inlineStr">
        <is>
          <t>记录每次成本变更的操作人/时间/前后值，支持按操作类型筛选、Excel 导出</t>
        </is>
      </c>
      <c r="D7" s="5" t="inlineStr">
        <is>
          <t>价值：便于审计追溯与责任划分
流程：编辑保存 → 自动写日志 → 审计查询</t>
        </is>
      </c>
      <c r="E7" s="6" t="n">
        <v>0.5</v>
      </c>
      <c r="F7" s="6" t="n">
        <v>1500</v>
      </c>
      <c r="G7" s="6" t="inlineStr">
        <is>
          <t>P1</t>
        </is>
      </c>
    </row>
    <row r="8" ht="26" customHeight="1">
      <c r="A8" s="9" t="inlineStr">
        <is>
          <t>小计</t>
        </is>
      </c>
      <c r="B8" s="10" t="n"/>
      <c r="C8" s="10" t="n"/>
      <c r="D8" s="10" t="n"/>
      <c r="E8" s="9">
        <f>SUM(E4:E7)</f>
        <v/>
      </c>
      <c r="F8" s="11">
        <f>SUM(F4:F7)</f>
        <v/>
      </c>
      <c r="G8" s="10" t="n"/>
    </row>
    <row r="9" ht="60" customHeight="1">
      <c r="A9" s="4" t="inlineStr">
        <is>
          <t>二、订单管理
与对账引擎
(需求 #5 #7 #8 #9)</t>
        </is>
      </c>
      <c r="B9" s="5" t="inlineStr">
        <is>
          <t>2.1 7 个国内平台账单解析</t>
        </is>
      </c>
      <c r="C9" s="5" t="inlineStr">
        <is>
          <t>抖音、淘宝/天猫、拼多多、快手、视频号小店、微信小店、小红书 7 个平台原始账单 Excel 解析，统一映射到标准列名</t>
        </is>
      </c>
      <c r="D9" s="5" t="inlineStr">
        <is>
          <t>价值：跨平台一套引擎，新平台只加映射文件
流程：上传 .xlsx → 适配器映射 → 标准化输出</t>
        </is>
      </c>
      <c r="E9" s="6" t="n">
        <v>1.5</v>
      </c>
      <c r="F9" s="6" t="n">
        <v>4000</v>
      </c>
      <c r="G9" s="6" t="inlineStr">
        <is>
          <t>P0</t>
        </is>
      </c>
    </row>
    <row r="10" ht="60" customHeight="1">
      <c r="A10" s="7" t="n"/>
      <c r="B10" s="5" t="inlineStr">
        <is>
          <t>2.2 聚水潭数据导入</t>
        </is>
      </c>
      <c r="C10" s="5" t="inlineStr">
        <is>
          <t>聚水潭"销售主题分析-明细(订单商品)"导出文件解析，支持多月数据、模糊 sheet 名匹配</t>
        </is>
      </c>
      <c r="D10" s="5" t="inlineStr">
        <is>
          <t>价值：与平台账单交叉对账的基础数据
流程：上传 → 按订单号聚合 → 输出 JstOrder</t>
        </is>
      </c>
      <c r="E10" s="6" t="n">
        <v>1</v>
      </c>
      <c r="F10" s="6" t="n">
        <v>2500</v>
      </c>
      <c r="G10" s="6" t="inlineStr">
        <is>
          <t>P0</t>
        </is>
      </c>
    </row>
    <row r="11" ht="60" customHeight="1">
      <c r="A11" s="8" t="n"/>
      <c r="B11" s="5" t="inlineStr">
        <is>
          <t>2.3 5 桶差异分析引擎</t>
        </is>
      </c>
      <c r="C11" s="5" t="inlineStr">
        <is>
          <t>订单按 matched / duplicated / missing_in_jst / missing_in_platform / profit_anomaly 5 类自动分桶，支持 AI 提示一句话定位差异原因</t>
        </is>
      </c>
      <c r="D11" s="5" t="inlineStr">
        <is>
          <t>价值：人工 3 天对账 → 系统 30 秒
流程：对账 → KPI 卡 + 差异表 + 一句话提示</t>
        </is>
      </c>
      <c r="E11" s="6" t="n">
        <v>2</v>
      </c>
      <c r="F11" s="6" t="n">
        <v>5500</v>
      </c>
      <c r="G11" s="6" t="inlineStr">
        <is>
          <t>P0</t>
        </is>
      </c>
    </row>
    <row r="12" ht="26" customHeight="1">
      <c r="A12" s="9" t="inlineStr">
        <is>
          <t>小计</t>
        </is>
      </c>
      <c r="B12" s="10" t="n"/>
      <c r="C12" s="10" t="n"/>
      <c r="D12" s="10" t="n"/>
      <c r="E12" s="9">
        <f>SUM(E9:E11)</f>
        <v/>
      </c>
      <c r="F12" s="11">
        <f>SUM(F9:F11)</f>
        <v/>
      </c>
      <c r="G12" s="10" t="n"/>
    </row>
    <row r="13" ht="60" customHeight="1">
      <c r="A13" s="4" t="inlineStr">
        <is>
          <t>三、海外平台
与汇率管理
(需求 #6 #10 #11 #12)</t>
        </is>
      </c>
      <c r="B13" s="5" t="inlineStr">
        <is>
          <t>3.1 4 个海外平台适配器</t>
        </is>
      </c>
      <c r="C13" s="5" t="inlineStr">
        <is>
          <t>俄罗斯 OZON / 俄罗斯 Wildberries / 英国 TikTok Shop / 美国 Amazon 4 个平台账单字段映射，币种自动识别</t>
        </is>
      </c>
      <c r="D13" s="5" t="inlineStr">
        <is>
          <t>价值：解决海外多平台对账空白
流程：选海外平台 → 上传账单 → 自动按币种处理</t>
        </is>
      </c>
      <c r="E13" s="6" t="n">
        <v>1</v>
      </c>
      <c r="F13" s="6" t="n">
        <v>2500</v>
      </c>
      <c r="G13" s="6" t="inlineStr">
        <is>
          <t>P0</t>
        </is>
      </c>
    </row>
    <row r="14" ht="60" customHeight="1">
      <c r="A14" s="7" t="n"/>
      <c r="B14" s="5" t="inlineStr">
        <is>
          <t>3.2 汇率引擎与维护页</t>
        </is>
      </c>
      <c r="C14" s="5" t="inlineStr">
        <is>
          <t>按客户规则「账单期间 → 取次月1日汇率」自动换算 USD/RUB/GBP 到人民币，支持按月维护汇率，节假日异常说明</t>
        </is>
      </c>
      <c r="D14" s="5" t="inlineStr">
        <is>
          <t>价值：海外多币种统一为 CNY 核算
流程：维护汇率 → 对账自动换算 → 报表统一展示</t>
        </is>
      </c>
      <c r="E14" s="6" t="n">
        <v>1</v>
      </c>
      <c r="F14" s="6" t="n">
        <v>2500</v>
      </c>
      <c r="G14" s="6" t="inlineStr">
        <is>
          <t>P0</t>
        </is>
      </c>
    </row>
    <row r="15" ht="60" customHeight="1">
      <c r="A15" s="8" t="n"/>
      <c r="B15" s="5" t="inlineStr">
        <is>
          <t>3.3 币种与店铺联动</t>
        </is>
      </c>
      <c r="C15" s="5" t="inlineStr">
        <is>
          <t>店铺档案带默认币种，平台切换时自动联动，对账结果带原币/CNY 双口径展示</t>
        </is>
      </c>
      <c r="D15" s="5" t="inlineStr">
        <is>
          <t>价值：跨币种透明可追溯
流程：店铺配置 → 对账 → 双币种展示</t>
        </is>
      </c>
      <c r="E15" s="6" t="n">
        <v>0.5</v>
      </c>
      <c r="F15" s="6" t="n">
        <v>1500</v>
      </c>
      <c r="G15" s="6" t="inlineStr">
        <is>
          <t>P1</t>
        </is>
      </c>
    </row>
    <row r="16" ht="26" customHeight="1">
      <c r="A16" s="9" t="inlineStr">
        <is>
          <t>小计</t>
        </is>
      </c>
      <c r="B16" s="10" t="n"/>
      <c r="C16" s="10" t="n"/>
      <c r="D16" s="10" t="n"/>
      <c r="E16" s="9">
        <f>SUM(E13:E15)</f>
        <v/>
      </c>
      <c r="F16" s="11">
        <f>SUM(F13:F15)</f>
        <v/>
      </c>
      <c r="G16" s="10" t="n"/>
    </row>
    <row r="17" ht="60" customHeight="1">
      <c r="A17" s="4" t="inlineStr">
        <is>
          <t>四、利润核算中心
(数据归集/分配/分析)</t>
        </is>
      </c>
      <c r="B17" s="5" t="inlineStr">
        <is>
          <t>4.1 数据归集</t>
        </is>
      </c>
      <c r="C17" s="5" t="inlineStr">
        <is>
          <t>按费用类型（推广费/运费险/平台服务费/红包/补贴等 10 类）归集到组织/店铺/平台单号维度，支持 Excel 批量导入</t>
        </is>
      </c>
      <c r="D17" s="5" t="inlineStr">
        <is>
          <t>价值：公共费用集中管理
流程：录入/导入 → 按类型分类 → 等待分配</t>
        </is>
      </c>
      <c r="E17" s="6" t="n">
        <v>0.5</v>
      </c>
      <c r="F17" s="6" t="n">
        <v>1500</v>
      </c>
      <c r="G17" s="6" t="inlineStr">
        <is>
          <t>P0</t>
        </is>
      </c>
    </row>
    <row r="18" ht="60" customHeight="1">
      <c r="A18" s="7" t="n"/>
      <c r="B18" s="5" t="inlineStr">
        <is>
          <t>4.2 分配标准</t>
        </is>
      </c>
      <c r="C18" s="5" t="inlineStr">
        <is>
          <t>5 种分配方式（按收入/按件数/按订单数/平均/直挂订单）×3 种范围（组织/店铺/订单商品）自由组合，支持优先级匹配</t>
        </is>
      </c>
      <c r="D18" s="5" t="inlineStr">
        <is>
          <t>价值：分摊规则透明可配置
流程：定义规则 → 分配引擎按优先级匹配 → 自动分摊</t>
        </is>
      </c>
      <c r="E18" s="6" t="n">
        <v>1</v>
      </c>
      <c r="F18" s="6" t="n">
        <v>2500</v>
      </c>
      <c r="G18" s="6" t="inlineStr">
        <is>
          <t>P0</t>
        </is>
      </c>
    </row>
    <row r="19" ht="60" customHeight="1">
      <c r="A19" s="7" t="n"/>
      <c r="B19" s="5" t="inlineStr">
        <is>
          <t>4.3 三层分配引擎</t>
        </is>
      </c>
      <c r="C19" s="5" t="inlineStr">
        <is>
          <t>组织 → 店铺 → 订单商品 三层分配，含 4 个聚合视图（按组织/店铺/商品/订单），未分配原因可视化</t>
        </is>
      </c>
      <c r="D19" s="5" t="inlineStr">
        <is>
          <t>价值：每分钱费用都能落到 SKU
流程：自动按规则匹配 → 分摊 → 多维上卷</t>
        </is>
      </c>
      <c r="E19" s="6" t="n">
        <v>1.5</v>
      </c>
      <c r="F19" s="6" t="n">
        <v>4000</v>
      </c>
      <c r="G19" s="6" t="inlineStr">
        <is>
          <t>P0</t>
        </is>
      </c>
    </row>
    <row r="20" ht="60" customHeight="1">
      <c r="A20" s="8" t="n"/>
      <c r="B20" s="5" t="inlineStr">
        <is>
          <t>4.4 利润分析表（多维）</t>
        </is>
      </c>
      <c r="C20" s="5" t="inlineStr">
        <is>
          <t>商品 / 店铺 / 平台 / 品类 4 维度切换，支持 KPI 卡片 + 上卷/下钻</t>
        </is>
      </c>
      <c r="D20" s="5" t="inlineStr">
        <is>
          <t>价值：一键看清各维度盈利能力
流程：选维度 → 自动上卷 → 排序/筛选</t>
        </is>
      </c>
      <c r="E20" s="6" t="n">
        <v>0.5</v>
      </c>
      <c r="F20" s="6" t="n">
        <v>1500</v>
      </c>
      <c r="G20" s="6" t="inlineStr">
        <is>
          <t>P1</t>
        </is>
      </c>
    </row>
    <row r="21" ht="26" customHeight="1">
      <c r="A21" s="9" t="inlineStr">
        <is>
          <t>小计</t>
        </is>
      </c>
      <c r="B21" s="10" t="n"/>
      <c r="C21" s="10" t="n"/>
      <c r="D21" s="10" t="n"/>
      <c r="E21" s="9">
        <f>SUM(E17:E20)</f>
        <v/>
      </c>
      <c r="F21" s="11">
        <f>SUM(F17:F20)</f>
        <v/>
      </c>
      <c r="G21" s="10" t="n"/>
    </row>
    <row r="22" ht="60" customHeight="1">
      <c r="A22" s="4" t="inlineStr">
        <is>
          <t>五、数据中心
(7 张报表 - 需求 #13~#16)</t>
        </is>
      </c>
      <c r="B22" s="5" t="inlineStr">
        <is>
          <t>5.1 账单汇总/明细表</t>
        </is>
      </c>
      <c r="C22" s="5" t="inlineStr">
        <is>
          <t>严格按客户《系统初稿模板5.22》表头：平台/店铺/月初余额/收入项(4)/支出项(6)/月末余额。明细级到订单/款式编码</t>
        </is>
      </c>
      <c r="D22" s="5" t="inlineStr">
        <is>
          <t>价值：与客户既有 Excel 报表表头逐字一致
流程：对账后自动生成，可一键导出 Excel</t>
        </is>
      </c>
      <c r="E22" s="6" t="n">
        <v>0.5</v>
      </c>
      <c r="F22" s="6" t="n">
        <v>1500</v>
      </c>
      <c r="G22" s="6" t="inlineStr">
        <is>
          <t>P0</t>
        </is>
      </c>
    </row>
    <row r="23" ht="60" customHeight="1">
      <c r="A23" s="7" t="n"/>
      <c r="B23" s="5" t="inlineStr">
        <is>
          <t>5.2 店铺利润表</t>
        </is>
      </c>
      <c r="C23" s="5" t="inlineStr">
        <is>
          <t>严格按客户表头：销售收入(4) + 销售成本(7) + 销售费用(7) + 店铺利润 + 毛利率 + 退货率 + 确收率</t>
        </is>
      </c>
      <c r="D23" s="5" t="inlineStr">
        <is>
          <t>价值：店铺老板视角的核心利润看板
流程：对账+分配后自动生成</t>
        </is>
      </c>
      <c r="E23" s="6" t="n">
        <v>1</v>
      </c>
      <c r="F23" s="6" t="n">
        <v>2500</v>
      </c>
      <c r="G23" s="6" t="inlineStr">
        <is>
          <t>P0</t>
        </is>
      </c>
    </row>
    <row r="24" ht="60" customHeight="1">
      <c r="A24" s="7" t="n"/>
      <c r="B24" s="5" t="inlineStr">
        <is>
          <t>5.3 商品利润表</t>
        </is>
      </c>
      <c r="C24" s="5" t="inlineStr">
        <is>
          <t>15 列（订单号/款式/商品编码/商品名称/品类/数量/单价/销售金额/成本/标费/辅料/毛利润/毛利率/备注）+ 右侧智能分析区（关键指标卡 + 12 月柱状图）</t>
        </is>
      </c>
      <c r="D24" s="5" t="inlineStr">
        <is>
          <t>价值：SKU 级利润排行 + 月度趋势
流程：对账+成本+分配 → 自动生成</t>
        </is>
      </c>
      <c r="E24" s="6" t="n">
        <v>1</v>
      </c>
      <c r="F24" s="6" t="n">
        <v>2500</v>
      </c>
      <c r="G24" s="6" t="inlineStr">
        <is>
          <t>P0</t>
        </is>
      </c>
    </row>
    <row r="25" ht="60" customHeight="1">
      <c r="A25" s="7" t="n"/>
      <c r="B25" s="5" t="inlineStr">
        <is>
          <t>5.4 应收汇总/明细表</t>
        </is>
      </c>
      <c r="C25" s="5" t="inlineStr">
        <is>
          <t>店铺/商品维度：期初结余 → 本期应收 → 本期核销 → 期末结余（数量+金额）</t>
        </is>
      </c>
      <c r="D25" s="5" t="inlineStr">
        <is>
          <t>价值：跨月应收余额追踪
流程：对账后自动生成</t>
        </is>
      </c>
      <c r="E25" s="6" t="n">
        <v>0.5</v>
      </c>
      <c r="F25" s="6" t="n">
        <v>1000</v>
      </c>
      <c r="G25" s="6" t="inlineStr">
        <is>
          <t>P1</t>
        </is>
      </c>
    </row>
    <row r="26" ht="60" customHeight="1">
      <c r="A26" s="8" t="n"/>
      <c r="B26" s="5" t="inlineStr">
        <is>
          <t>5.5 差异分析表（对账主入口）</t>
        </is>
      </c>
      <c r="C26" s="5" t="inlineStr">
        <is>
          <t>上传账单 + 对账 + KPI 卡片 + 5 桶筛选 + 行下钻原始流水 + 月度公共扣费面板</t>
        </is>
      </c>
      <c r="D26" s="5" t="inlineStr">
        <is>
          <t>价值：对账核心工作台
流程：上传 → 对账 → 看 KPI → 筛差异 → 下钻</t>
        </is>
      </c>
      <c r="E26" s="6" t="n">
        <v>0.5</v>
      </c>
      <c r="F26" s="6" t="n">
        <v>1500</v>
      </c>
      <c r="G26" s="6" t="inlineStr">
        <is>
          <t>P0</t>
        </is>
      </c>
    </row>
    <row r="27" ht="26" customHeight="1">
      <c r="A27" s="9" t="inlineStr">
        <is>
          <t>小计</t>
        </is>
      </c>
      <c r="B27" s="10" t="n"/>
      <c r="C27" s="10" t="n"/>
      <c r="D27" s="10" t="n"/>
      <c r="E27" s="9">
        <f>SUM(E22:E26)</f>
        <v/>
      </c>
      <c r="F27" s="11">
        <f>SUM(F22:F26)</f>
        <v/>
      </c>
      <c r="G27" s="10" t="n"/>
    </row>
    <row r="28" ht="60" customHeight="1">
      <c r="A28" s="4" t="inlineStr">
        <is>
          <t>六、店铺管理
与系统设置
(需求 #17~#20)</t>
        </is>
      </c>
      <c r="B28" s="5" t="inlineStr">
        <is>
          <t>6.1 店铺/平台/币种配置</t>
        </is>
      </c>
      <c r="C28" s="5" t="inlineStr">
        <is>
          <t>维护店铺名称/所属平台/默认币种/营业状态/结算规则；支持按平台筛选、一键停用</t>
        </is>
      </c>
      <c r="D28" s="5" t="inlineStr">
        <is>
          <t>价值：多店铺集中管理
流程：录入 → 关联平台 → 对账时自动绑定</t>
        </is>
      </c>
      <c r="E28" s="6" t="n">
        <v>0.5</v>
      </c>
      <c r="F28" s="6" t="n">
        <v>1500</v>
      </c>
      <c r="G28" s="6" t="inlineStr">
        <is>
          <t>P0</t>
        </is>
      </c>
    </row>
    <row r="29" ht="60" customHeight="1">
      <c r="A29" s="7" t="n"/>
      <c r="B29" s="5" t="inlineStr">
        <is>
          <t>6.2 角色/权限/数据备份</t>
        </is>
      </c>
      <c r="C29" s="5" t="inlineStr">
        <is>
          <t>5 个预置角色（超管/财务主管/财务/运营/只读）+ 权限矩阵展示 + 一键导出全部数据 JSON 备份</t>
        </is>
      </c>
      <c r="D29" s="5" t="inlineStr">
        <is>
          <t>价值：满足审计与多人协作
流程：分配角色 → 操作受控 → 定期备份</t>
        </is>
      </c>
      <c r="E29" s="6" t="n">
        <v>0.5</v>
      </c>
      <c r="F29" s="6" t="n">
        <v>1000</v>
      </c>
      <c r="G29" s="6" t="inlineStr">
        <is>
          <t>P1</t>
        </is>
      </c>
    </row>
    <row r="30" ht="60" customHeight="1">
      <c r="A30" s="8" t="n"/>
      <c r="B30" s="5" t="inlineStr">
        <is>
          <t>6.3 Excel 导出与模板下载</t>
        </is>
      </c>
      <c r="C30" s="5" t="inlineStr">
        <is>
          <t>所有报表支持导出 Excel（多 sheet + 列宽 + 货币格式），关键页提供导入模板下载</t>
        </is>
      </c>
      <c r="D30" s="5" t="inlineStr">
        <is>
          <t>价值：与现有财务流程无缝衔接
流程：报表页点导出 → 自动生成 .xlsx</t>
        </is>
      </c>
      <c r="E30" s="6" t="n">
        <v>0.5</v>
      </c>
      <c r="F30" s="6" t="n">
        <v>1000</v>
      </c>
      <c r="G30" s="6" t="inlineStr">
        <is>
          <t>P0</t>
        </is>
      </c>
    </row>
    <row r="31" ht="26" customHeight="1">
      <c r="A31" s="9" t="inlineStr">
        <is>
          <t>小计</t>
        </is>
      </c>
      <c r="B31" s="10" t="n"/>
      <c r="C31" s="10" t="n"/>
      <c r="D31" s="10" t="n"/>
      <c r="E31" s="9">
        <f>SUM(E28:E30)</f>
        <v/>
      </c>
      <c r="F31" s="11">
        <f>SUM(F28:F30)</f>
        <v/>
      </c>
      <c r="G31" s="10" t="n"/>
    </row>
    <row r="32" ht="60" customHeight="1">
      <c r="A32" s="4" t="inlineStr">
        <is>
          <t>七、测试 / 部署
/ 培训</t>
        </is>
      </c>
      <c r="B32" s="5" t="inlineStr">
        <is>
          <t>7.1 回归测试与单元测试</t>
        </is>
      </c>
      <c r="C32" s="5" t="inlineStr">
        <is>
          <t>使用真实抖音账单跑回归，64+ 单元测试覆盖核心引擎</t>
        </is>
      </c>
      <c r="D32" s="5" t="inlineStr">
        <is>
          <t>价值：保障对账准确性 ≥ 95%
流程：测试 → 修 bug → 复测</t>
        </is>
      </c>
      <c r="E32" s="6" t="n">
        <v>1</v>
      </c>
      <c r="F32" s="6" t="n">
        <v>1500</v>
      </c>
      <c r="G32" s="6" t="inlineStr">
        <is>
          <t>P0</t>
        </is>
      </c>
    </row>
    <row r="33" ht="60" customHeight="1">
      <c r="A33" s="7" t="n"/>
      <c r="B33" s="5" t="inlineStr">
        <is>
          <t>7.2 部署上线</t>
        </is>
      </c>
      <c r="C33" s="5" t="inlineStr">
        <is>
          <t>部署到客户指定环境（GitHub Pages / 内部服务器 / 私有 OSS），配置域名与 HTTPS</t>
        </is>
      </c>
      <c r="D33" s="5" t="inlineStr">
        <is>
          <t>价值：可访问的线上系统
流程：构建 → 上传 → 域名解析 → 验证</t>
        </is>
      </c>
      <c r="E33" s="6" t="n">
        <v>0.5</v>
      </c>
      <c r="F33" s="6" t="n">
        <v>500</v>
      </c>
      <c r="G33" s="6" t="inlineStr">
        <is>
          <t>P0</t>
        </is>
      </c>
    </row>
    <row r="34" ht="60" customHeight="1">
      <c r="A34" s="8" t="n"/>
      <c r="B34" s="5" t="inlineStr">
        <is>
          <t>7.3 现场培训与文档</t>
        </is>
      </c>
      <c r="C34" s="5" t="inlineStr">
        <is>
          <t>1 次现场/远程培训 + 用户操作手册 + 开发者扩展指南 + 培训视频</t>
        </is>
      </c>
      <c r="D34" s="5" t="inlineStr">
        <is>
          <t>价值：5 人内财务团队 1 小时上手
流程：演示 → 答疑 → 留资料</t>
        </is>
      </c>
      <c r="E34" s="6" t="n">
        <v>0.5</v>
      </c>
      <c r="F34" s="6" t="n">
        <v>500</v>
      </c>
      <c r="G34" s="6" t="inlineStr">
        <is>
          <t>P0</t>
        </is>
      </c>
    </row>
    <row r="35" ht="26" customHeight="1">
      <c r="A35" s="9" t="inlineStr">
        <is>
          <t>小计</t>
        </is>
      </c>
      <c r="B35" s="10" t="n"/>
      <c r="C35" s="10" t="n"/>
      <c r="D35" s="10" t="n"/>
      <c r="E35" s="9">
        <f>SUM(E32:E34)</f>
        <v/>
      </c>
      <c r="F35" s="11">
        <f>SUM(F32:F34)</f>
        <v/>
      </c>
      <c r="G35" s="10" t="n"/>
    </row>
    <row r="36" ht="32" customHeight="1">
      <c r="A36" s="12" t="inlineStr">
        <is>
          <t>项目总计</t>
        </is>
      </c>
      <c r="B36" s="13" t="n"/>
      <c r="C36" s="13" t="n"/>
      <c r="D36" s="14" t="inlineStr">
        <is>
          <t>共 7 大模块，22 项核心功能；满足客户需求表全部 20 项 + 系统初稿模板全部 4 张报表</t>
        </is>
      </c>
      <c r="E36" s="12">
        <f>SUM(E8,E12,E16,E21,E27,E31,E35)</f>
        <v/>
      </c>
      <c r="F36" s="15">
        <f>SUM(F8,F12,F16,F21,F27,F31,F35)</f>
        <v/>
      </c>
      <c r="G36" s="13" t="n"/>
    </row>
    <row r="38" ht="26" customHeight="1">
      <c r="A38" s="16" t="inlineStr">
        <is>
          <t>📋 项目说明</t>
        </is>
      </c>
    </row>
    <row r="39" ht="22" customHeight="1">
      <c r="A39" s="17" t="inlineStr">
        <is>
          <t>本项目为客户《财务自动对账系统-需求表》20 项需求 + 《系统初稿模板5.22》4 张报表的完整实现。</t>
        </is>
      </c>
    </row>
    <row r="40" ht="22" customHeight="1">
      <c r="A40" s="17" t="inlineStr">
        <is>
          <t>采用纯前端 React 方案，浏览器端解析 Excel + localStorage 持久化，零后端依赖，开箱即用。</t>
        </is>
      </c>
    </row>
    <row r="41" ht="22" customHeight="1">
      <c r="A41" s="17" t="inlineStr">
        <is>
          <t>11 个平台（7 国内 + 4 海外）通过适配器模式统一处理，新增平台仅需 1 个映射文件，扩展性强。</t>
        </is>
      </c>
    </row>
    <row r="43" ht="26" customHeight="1">
      <c r="A43" s="16" t="inlineStr">
        <is>
          <t>💰 费用说明</t>
        </is>
      </c>
    </row>
    <row r="44" ht="22" customHeight="1">
      <c r="A44" s="17" t="inlineStr">
        <is>
          <t>• 报价含税（增值税专票），合计 50,000 元整</t>
        </is>
      </c>
    </row>
    <row r="45" ht="22" customHeight="1">
      <c r="A45" s="17" t="inlineStr">
        <is>
          <t>• 含：需求确认 / 全部功能开发 / 测试 / 部署上线 / 1 次培训 / 3 个月免费维护</t>
        </is>
      </c>
    </row>
    <row r="46" ht="22" customHeight="1">
      <c r="A46" s="17" t="inlineStr">
        <is>
          <t>• 不含：第三方平台费用（如域名/服务器）、二次开发后端 API、对接金蝶/用友 ERP</t>
        </is>
      </c>
    </row>
    <row r="47" ht="22" customHeight="1">
      <c r="A47" s="17" t="inlineStr">
        <is>
          <t>• 付款方式建议：合同签订付 30%、对账主流程交付付 40%、验收完成付 30%</t>
        </is>
      </c>
    </row>
    <row r="49" ht="26" customHeight="1">
      <c r="A49" s="16" t="inlineStr">
        <is>
          <t>⏱️ 开发周期（20 工作日 / 4 周）</t>
        </is>
      </c>
    </row>
    <row r="50" ht="22" customHeight="1">
      <c r="A50" s="17" t="inlineStr">
        <is>
          <t>阶段一 [Day 1-4 / 第 1 周]：需求确认 + 商品管理 3 页（资料/成本/历史）</t>
        </is>
      </c>
    </row>
    <row r="51" ht="22" customHeight="1">
      <c r="A51" s="17" t="inlineStr">
        <is>
          <t>阶段二 [Day 5-10 / 第 2 周]：对账引擎 + 7 国内平台 + 聚水潭 + 差异分析表</t>
        </is>
      </c>
    </row>
    <row r="52" ht="22" customHeight="1">
      <c r="A52" s="17" t="inlineStr">
        <is>
          <t>阶段三 [Day 11-16 / 第 3 周]：汇率/分配引擎 + 利润核算 + 7 张报表</t>
        </is>
      </c>
    </row>
    <row r="53" ht="22" customHeight="1">
      <c r="A53" s="17" t="inlineStr">
        <is>
          <t>阶段四 [Day 17-20 / 第 4 周]：4 海外平台 + 系统设置 + 测试部署 + 培训交付</t>
        </is>
      </c>
    </row>
    <row r="55" ht="26" customHeight="1">
      <c r="A55" s="16" t="inlineStr">
        <is>
          <t>🎯 功能优先级说明</t>
        </is>
      </c>
    </row>
    <row r="56" ht="22" customHeight="1">
      <c r="A56" s="17" t="inlineStr">
        <is>
          <t>P0（必做）：商品资料/成本/审计、对账引擎、5 桶差异、汇率引擎、4 张核心报表、店铺配置、Excel 导出</t>
        </is>
      </c>
    </row>
    <row r="57" ht="22" customHeight="1">
      <c r="A57" s="17" t="inlineStr">
        <is>
          <t>P1（重要）：4 维利润分析、应收报表、角色权限、智能分析区</t>
        </is>
      </c>
    </row>
    <row r="59" ht="26" customHeight="1">
      <c r="A59" s="16" t="inlineStr">
        <is>
          <t>🔧 技术栈</t>
        </is>
      </c>
    </row>
    <row r="60" ht="22" customHeight="1">
      <c r="A60" s="17" t="inlineStr">
        <is>
          <t>• 前端：React 19 + Vite 8 + lucide-react</t>
        </is>
      </c>
    </row>
    <row r="61" ht="22" customHeight="1">
      <c r="A61" s="17" t="inlineStr">
        <is>
          <t>• Excel 解析与生成：SheetJS (xlsx)</t>
        </is>
      </c>
    </row>
    <row r="62" ht="22" customHeight="1">
      <c r="A62" s="17" t="inlineStr">
        <is>
          <t>• 状态管理：自研 Hook（useReducer + localStorage）</t>
        </is>
      </c>
    </row>
    <row r="63" ht="22" customHeight="1">
      <c r="A63" s="17" t="inlineStr">
        <is>
          <t>• 测试：vitest（64+ 单元测试，覆盖核心引擎）</t>
        </is>
      </c>
    </row>
    <row r="64" ht="22" customHeight="1">
      <c r="A64" s="17" t="inlineStr">
        <is>
          <t>• 部署：纯静态资源，支持任意 CDN/Pages 服务</t>
        </is>
      </c>
    </row>
    <row r="66" ht="26" customHeight="1">
      <c r="A66" s="16" t="inlineStr">
        <is>
          <t>📦 交付清单</t>
        </is>
      </c>
    </row>
    <row r="67" ht="22" customHeight="1">
      <c r="A67" s="17" t="inlineStr">
        <is>
          <t>• 完整源代码（Git 仓库 + 提交历史）</t>
        </is>
      </c>
    </row>
    <row r="68" ht="22" customHeight="1">
      <c r="A68" s="17" t="inlineStr">
        <is>
          <t>• 生产构建包（dist 目录）+ 部署文档</t>
        </is>
      </c>
    </row>
    <row r="69" ht="22" customHeight="1">
      <c r="A69" s="17" t="inlineStr">
        <is>
          <t>• 用户操作手册（PDF/在线）</t>
        </is>
      </c>
    </row>
    <row r="70" ht="22" customHeight="1">
      <c r="A70" s="17" t="inlineStr">
        <is>
          <t>• 开发者扩展指南（新增平台/报表/字段）</t>
        </is>
      </c>
    </row>
    <row r="71" ht="22" customHeight="1">
      <c r="A71" s="17" t="inlineStr">
        <is>
          <t>• 演示数据（11 平台 + 全模块种子数据）</t>
        </is>
      </c>
    </row>
    <row r="72" ht="22" customHeight="1">
      <c r="A72" s="17" t="inlineStr">
        <is>
          <t>• 1 次现场/远程培训 + 录屏回放</t>
        </is>
      </c>
    </row>
    <row r="74" ht="26" customHeight="1">
      <c r="A74" s="16" t="inlineStr">
        <is>
          <t>🛡️ 售后服务</t>
        </is>
      </c>
    </row>
    <row r="75" ht="22" customHeight="1">
      <c r="A75" s="17" t="inlineStr">
        <is>
          <t>• 交付后 3 个月免费维护（含 bug 修复、浏览器兼容、文档勘误）</t>
        </is>
      </c>
    </row>
    <row r="76" ht="22" customHeight="1">
      <c r="A76" s="17" t="inlineStr">
        <is>
          <t>• 1 次远程答疑</t>
        </is>
      </c>
    </row>
    <row r="77" ht="22" customHeight="1">
      <c r="A77" s="17" t="inlineStr">
        <is>
          <t>• 季度免费版本升级（已知问题修复、安全补丁）</t>
        </is>
      </c>
    </row>
    <row r="78" ht="22" customHeight="1">
      <c r="A78" s="17" t="inlineStr">
        <is>
          <t>• 重大版本升级 8 折优惠</t>
        </is>
      </c>
    </row>
    <row r="79" ht="22" customHeight="1">
      <c r="A79" s="17" t="inlineStr">
        <is>
          <t>• 新增国内平台：1500 元 / 个；新增海外平台：2500 元 / 个</t>
        </is>
      </c>
    </row>
    <row r="80" ht="22" customHeight="1">
      <c r="A80" s="17" t="inlineStr">
        <is>
          <t>• 新增自定义报表：2000-3500 元 / 张</t>
        </is>
      </c>
    </row>
    <row r="82" ht="26" customHeight="1">
      <c r="A82" s="16" t="inlineStr">
        <is>
          <t>⚠️ 风险与待决策事项</t>
        </is>
      </c>
    </row>
    <row r="83" ht="22" customHeight="1">
      <c r="A83" s="17" t="inlineStr">
        <is>
          <t>• 客户需要在第 1 周提供 3-5 个真实账单样本以提前调试适配器</t>
        </is>
      </c>
    </row>
    <row r="84" ht="22" customHeight="1">
      <c r="A84" s="17" t="inlineStr">
        <is>
          <t>• 海外平台账单字段需客户提供 1 份样本，否则用通用模板</t>
        </is>
      </c>
    </row>
    <row r="85" ht="22" customHeight="1">
      <c r="A85" s="17" t="inlineStr">
        <is>
          <t>• 数据存储默认 localStorage（5MB 配额），如需更大或多端同步需追加后端 API</t>
        </is>
      </c>
    </row>
    <row r="86" ht="22" customHeight="1">
      <c r="A86" s="17" t="inlineStr">
        <is>
          <t>• 角色/权限/备份目前为前端展示，生产级权限控制需后端配套</t>
        </is>
      </c>
    </row>
  </sheetData>
  <mergeCells count="51">
    <mergeCell ref="A53:G53"/>
    <mergeCell ref="A62:G62"/>
    <mergeCell ref="A38:G38"/>
    <mergeCell ref="A72:G72"/>
    <mergeCell ref="A52:G52"/>
    <mergeCell ref="A32:A34"/>
    <mergeCell ref="A43:G43"/>
    <mergeCell ref="A68:G68"/>
    <mergeCell ref="A63:G63"/>
    <mergeCell ref="A13:A15"/>
    <mergeCell ref="A22:A26"/>
    <mergeCell ref="A44:G44"/>
    <mergeCell ref="A40:G40"/>
    <mergeCell ref="A67:G67"/>
    <mergeCell ref="A39:G39"/>
    <mergeCell ref="A28:A30"/>
    <mergeCell ref="A77:G77"/>
    <mergeCell ref="A83:G83"/>
    <mergeCell ref="A64:G64"/>
    <mergeCell ref="A59:G59"/>
    <mergeCell ref="A82:G82"/>
    <mergeCell ref="A60:G60"/>
    <mergeCell ref="A49:G49"/>
    <mergeCell ref="A51:G51"/>
    <mergeCell ref="A9:A11"/>
    <mergeCell ref="A45:G45"/>
    <mergeCell ref="A61:G61"/>
    <mergeCell ref="A1:G1"/>
    <mergeCell ref="A70:G70"/>
    <mergeCell ref="A79:G79"/>
    <mergeCell ref="A17:A20"/>
    <mergeCell ref="A69:G69"/>
    <mergeCell ref="A78:G78"/>
    <mergeCell ref="A41:G41"/>
    <mergeCell ref="A46:G46"/>
    <mergeCell ref="A75:G75"/>
    <mergeCell ref="A4:A7"/>
    <mergeCell ref="A66:G66"/>
    <mergeCell ref="A84:G84"/>
    <mergeCell ref="A85:G85"/>
    <mergeCell ref="A74:G74"/>
    <mergeCell ref="A80:G80"/>
    <mergeCell ref="A56:G56"/>
    <mergeCell ref="A55:G55"/>
    <mergeCell ref="A50:G50"/>
    <mergeCell ref="A2:G2"/>
    <mergeCell ref="A86:G86"/>
    <mergeCell ref="A57:G57"/>
    <mergeCell ref="A76:G76"/>
    <mergeCell ref="A71:G71"/>
    <mergeCell ref="A47:G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2026-05-26T08:36:29Z</dcterms:created>
  <dcterms:modified xmlns:dcterms="http://purl.org/dc/terms/" xmlns:xsi="http://www.w3.org/2001/XMLSchema-instance" xsi:type="dcterms:W3CDTF">2026-05-26T08:36:29Z</dcterms:modified>
</cp:coreProperties>
</file>